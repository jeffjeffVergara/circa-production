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paolavelarde/Projects/circa-deploy-temp/"/>
    </mc:Choice>
  </mc:AlternateContent>
  <xr:revisionPtr revIDLastSave="0" documentId="13_ncr:1_{75F088B1-CDE1-7A4D-A0A5-0C98108DFD63}" xr6:coauthVersionLast="47" xr6:coauthVersionMax="47" xr10:uidLastSave="{00000000-0000-0000-0000-000000000000}"/>
  <bookViews>
    <workbookView xWindow="0" yWindow="680" windowWidth="25600" windowHeight="15320" xr2:uid="{00000000-000D-0000-FFFF-FFFF00000000}"/>
  </bookViews>
  <sheets>
    <sheet name="Resumen" sheetId="1" r:id="rId1"/>
    <sheet name="Detalle" sheetId="2" r:id="rId2"/>
    <sheet name="Alertas" sheetId="3" r:id="rId3"/>
  </sheets>
  <definedNames>
    <definedName name="_xlnm._FilterDatabase" localSheetId="0" hidden="1">Resumen!$A$1:$K$36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11" i="2"/>
  <c r="C10" i="2"/>
</calcChain>
</file>

<file path=xl/sharedStrings.xml><?xml version="1.0" encoding="utf-8"?>
<sst xmlns="http://schemas.openxmlformats.org/spreadsheetml/2006/main" count="171" uniqueCount="136">
  <si>
    <t>Codigo</t>
  </si>
  <si>
    <t>Vendedor</t>
  </si>
  <si>
    <t>Celular</t>
  </si>
  <si>
    <t>Afil. financiadas</t>
  </si>
  <si>
    <t>Afil. cash</t>
  </si>
  <si>
    <t>Recompras mes1</t>
  </si>
  <si>
    <t>Metas semanales</t>
  </si>
  <si>
    <t>Top</t>
  </si>
  <si>
    <t>Recompras bolsa m2+</t>
  </si>
  <si>
    <t>A PAGAR S/</t>
  </si>
  <si>
    <t>EN ESPERA S/</t>
  </si>
  <si>
    <t>CIRCA01</t>
  </si>
  <si>
    <t>ADMIN CIRCA</t>
  </si>
  <si>
    <t>VW-CYNTHIA</t>
  </si>
  <si>
    <t>CYNTHIA</t>
  </si>
  <si>
    <t>954712581</t>
  </si>
  <si>
    <t>VW-PAO</t>
  </si>
  <si>
    <t>VELARDE ARNAEZ PAOLA MARIA</t>
  </si>
  <si>
    <t>993557282</t>
  </si>
  <si>
    <t>VW09</t>
  </si>
  <si>
    <t>PERALTA QUISPE ADOLFO</t>
  </si>
  <si>
    <t>+51946280108</t>
  </si>
  <si>
    <t>VW101</t>
  </si>
  <si>
    <t>VASQUEZ HOSTIA ORLANDO LEONEL</t>
  </si>
  <si>
    <t>+51934927863</t>
  </si>
  <si>
    <t>VW130</t>
  </si>
  <si>
    <t>CRUCES AGREDA JESUS ALEJANDRO</t>
  </si>
  <si>
    <t>+51994072616</t>
  </si>
  <si>
    <t>VW166</t>
  </si>
  <si>
    <t>BUITRON JIMENEZ AMALIA BEATRIZ</t>
  </si>
  <si>
    <t>+51980020517</t>
  </si>
  <si>
    <t>VW167</t>
  </si>
  <si>
    <t>AMARO CASTILLO RONALD ABELARDO</t>
  </si>
  <si>
    <t>VW168</t>
  </si>
  <si>
    <t>QUISPE HUAMAN BEATRIZ</t>
  </si>
  <si>
    <t>+51970844099</t>
  </si>
  <si>
    <t>VW172</t>
  </si>
  <si>
    <t>ESTRADA TRAVEZAN CARLOS ALBERTO</t>
  </si>
  <si>
    <t>+51970843408</t>
  </si>
  <si>
    <t>VW199</t>
  </si>
  <si>
    <t>ZAMBRANO FRANCO JORGE ISRAEL JESUS</t>
  </si>
  <si>
    <t>+51981329476</t>
  </si>
  <si>
    <t>VW205</t>
  </si>
  <si>
    <t>SANCHEZ ALVARADO JORGE LUIS</t>
  </si>
  <si>
    <t>+51981542246</t>
  </si>
  <si>
    <t>VW215</t>
  </si>
  <si>
    <t>DANCUR BARRANTES JONNATHAN</t>
  </si>
  <si>
    <t>+51981532792</t>
  </si>
  <si>
    <t>VW216</t>
  </si>
  <si>
    <t>NIZAMA ANGELES DANIEL ANGEL</t>
  </si>
  <si>
    <t>+51946280685</t>
  </si>
  <si>
    <t>VW247</t>
  </si>
  <si>
    <t>MARTINEZ GROVAS ELIZABETH JACKELINE</t>
  </si>
  <si>
    <t>+51955517159</t>
  </si>
  <si>
    <t>VW251</t>
  </si>
  <si>
    <t>TRIGO MOREY SARASVATI MAYA DEVI</t>
  </si>
  <si>
    <t>VW253</t>
  </si>
  <si>
    <t>VIERA DAVILA SUSY LECY</t>
  </si>
  <si>
    <t>+51994064383</t>
  </si>
  <si>
    <t>VW259</t>
  </si>
  <si>
    <t>HORNA RUIZ ERICKA PAMELA</t>
  </si>
  <si>
    <t>+51955519930</t>
  </si>
  <si>
    <t>VW262</t>
  </si>
  <si>
    <t>PEÑA RUIZ SHIRLEY YUDIANNE</t>
  </si>
  <si>
    <t>+51946283390</t>
  </si>
  <si>
    <t>VW263</t>
  </si>
  <si>
    <t>HUARANCA ECHACCAYA LUIS MIGUEL</t>
  </si>
  <si>
    <t>+51946280661</t>
  </si>
  <si>
    <t>VW279</t>
  </si>
  <si>
    <t>MARTINEZ ARIADELA ANGELO GIORGINO</t>
  </si>
  <si>
    <t>+51946278869</t>
  </si>
  <si>
    <t>VW288</t>
  </si>
  <si>
    <t>ARRUNATEGUI FLORES KARI KATHIA HAZEL</t>
  </si>
  <si>
    <t>+51934885451</t>
  </si>
  <si>
    <t>VW299</t>
  </si>
  <si>
    <t>MARTINEZ GONZALES MARCO EMILIO</t>
  </si>
  <si>
    <t>+51992583666</t>
  </si>
  <si>
    <t>VW307</t>
  </si>
  <si>
    <t>AGUILAR RODRIGUEZ NESTOR ANIBAL</t>
  </si>
  <si>
    <t>VW308</t>
  </si>
  <si>
    <t>ULLOA VILLA LUIS DANIEL</t>
  </si>
  <si>
    <t>VW315</t>
  </si>
  <si>
    <t>HEREDIA GARRIDO CARLOS JESUS</t>
  </si>
  <si>
    <t>VW330</t>
  </si>
  <si>
    <t>PORTILLO PORRAS LUIS ENRIQUE</t>
  </si>
  <si>
    <t>VW331</t>
  </si>
  <si>
    <t>SURAY CALDERON GIANCARLO</t>
  </si>
  <si>
    <t>VW55</t>
  </si>
  <si>
    <t>JAIME GARCIA CALDERON LUIS MIGUEL</t>
  </si>
  <si>
    <t>VW57</t>
  </si>
  <si>
    <t>VALDIVIESO TORPOCO JUAN CARLOS</t>
  </si>
  <si>
    <t>+51946281357</t>
  </si>
  <si>
    <t>VW65</t>
  </si>
  <si>
    <t>GARCIA ALEJO CARLOS ALBERTO</t>
  </si>
  <si>
    <t>+51955518782</t>
  </si>
  <si>
    <t>VW74</t>
  </si>
  <si>
    <t>LLANOS DIAZ ERICK SAUL</t>
  </si>
  <si>
    <t>VW78</t>
  </si>
  <si>
    <t>CARDENAS MACHADO PATRICIA IVONNE</t>
  </si>
  <si>
    <t>+51980020538</t>
  </si>
  <si>
    <t>VW86</t>
  </si>
  <si>
    <t>PALACIOS QUIÑONEZ RAUL AMADOR</t>
  </si>
  <si>
    <t>VWTEST-JV</t>
  </si>
  <si>
    <t>VERGARA JEFFERSON</t>
  </si>
  <si>
    <t>942616682</t>
  </si>
  <si>
    <t>TOTAL</t>
  </si>
  <si>
    <t>Bodega</t>
  </si>
  <si>
    <t>Pedido</t>
  </si>
  <si>
    <t>Fecha</t>
  </si>
  <si>
    <t>Concepto</t>
  </si>
  <si>
    <t>S/</t>
  </si>
  <si>
    <t>Estado</t>
  </si>
  <si>
    <t>TORRES ROMERO RAUL YSAAC</t>
  </si>
  <si>
    <t>CRC-021</t>
  </si>
  <si>
    <t>2026-05-22</t>
  </si>
  <si>
    <t>afiliacion financiada</t>
  </si>
  <si>
    <t>A PAGAR</t>
  </si>
  <si>
    <t>ARIZAPANA CONDORI VLADIMIR</t>
  </si>
  <si>
    <t>CRC-020</t>
  </si>
  <si>
    <t>2026-05-21</t>
  </si>
  <si>
    <t>CRC-022</t>
  </si>
  <si>
    <t>2026-05-28</t>
  </si>
  <si>
    <t>recompra financiada (mes 1)</t>
  </si>
  <si>
    <t>CRC-024</t>
  </si>
  <si>
    <t>2026-06-04</t>
  </si>
  <si>
    <t>URBANO CHIHUANTITO DAVID GENARO</t>
  </si>
  <si>
    <t>CRC-025</t>
  </si>
  <si>
    <t>COTRINA ZAFRA ELENA</t>
  </si>
  <si>
    <t>CRC-026</t>
  </si>
  <si>
    <t>2026-06-08</t>
  </si>
  <si>
    <t>Problema</t>
  </si>
  <si>
    <t>CRC-023</t>
  </si>
  <si>
    <t>SANCHEZ MAGIN SANDRA LUCERO</t>
  </si>
  <si>
    <t>2026-06-03</t>
  </si>
  <si>
    <t>ATRIBUCION AMBIGUA: bodega con varios vendedores activos en cartera — corregir bodega_vendedores</t>
  </si>
  <si>
    <t>Resumen por Vendedor pedidos ya cobrados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</si>
</sst>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6C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14" customWidth="1"/>
    <col min="4" max="4" width="15" customWidth="1"/>
    <col min="5" max="5" width="11" customWidth="1"/>
    <col min="6" max="7" width="14" customWidth="1"/>
    <col min="8" max="8" width="6" customWidth="1"/>
    <col min="9" max="9" width="17" customWidth="1"/>
    <col min="10" max="11" width="1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13</v>
      </c>
      <c r="B3" t="s">
        <v>14</v>
      </c>
      <c r="C3" t="s">
        <v>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16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22</v>
      </c>
      <c r="B6" t="s">
        <v>23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25</v>
      </c>
      <c r="B7" t="s">
        <v>26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28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31</v>
      </c>
      <c r="B9" t="s">
        <v>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33</v>
      </c>
      <c r="B10" t="s">
        <v>34</v>
      </c>
      <c r="C10" t="s">
        <v>35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5</v>
      </c>
      <c r="K10">
        <v>0</v>
      </c>
    </row>
    <row r="11" spans="1:11" x14ac:dyDescent="0.2">
      <c r="A11" t="s">
        <v>36</v>
      </c>
      <c r="B11" t="s">
        <v>37</v>
      </c>
      <c r="C11" t="s">
        <v>38</v>
      </c>
      <c r="D11">
        <v>2</v>
      </c>
      <c r="E11">
        <v>0</v>
      </c>
      <c r="F11">
        <v>2</v>
      </c>
      <c r="G11">
        <v>0</v>
      </c>
      <c r="H11">
        <v>1</v>
      </c>
      <c r="I11">
        <v>0</v>
      </c>
      <c r="J11">
        <v>44</v>
      </c>
      <c r="K11">
        <v>0</v>
      </c>
    </row>
    <row r="12" spans="1:11" x14ac:dyDescent="0.2">
      <c r="A12" t="s">
        <v>39</v>
      </c>
      <c r="B12" t="s">
        <v>40</v>
      </c>
      <c r="C12" t="s">
        <v>41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42</v>
      </c>
      <c r="B13" t="s">
        <v>43</v>
      </c>
      <c r="C13" t="s">
        <v>44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t="s">
        <v>45</v>
      </c>
      <c r="B14" t="s">
        <v>46</v>
      </c>
      <c r="C14" t="s">
        <v>47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t="s">
        <v>48</v>
      </c>
      <c r="B15" t="s">
        <v>49</v>
      </c>
      <c r="C15" t="s">
        <v>50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51</v>
      </c>
      <c r="B16" t="s">
        <v>52</v>
      </c>
      <c r="C16" t="s">
        <v>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54</v>
      </c>
      <c r="B17" t="s">
        <v>55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t="s">
        <v>56</v>
      </c>
      <c r="B18" t="s">
        <v>57</v>
      </c>
      <c r="C18" t="s">
        <v>58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t="s">
        <v>59</v>
      </c>
      <c r="B19" t="s">
        <v>60</v>
      </c>
      <c r="C19" t="s">
        <v>61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t="s">
        <v>62</v>
      </c>
      <c r="B20" t="s">
        <v>63</v>
      </c>
      <c r="C20" t="s">
        <v>64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t="s">
        <v>65</v>
      </c>
      <c r="B21" t="s">
        <v>66</v>
      </c>
      <c r="C21" t="s">
        <v>67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t="s">
        <v>68</v>
      </c>
      <c r="B22" t="s">
        <v>69</v>
      </c>
      <c r="C22" t="s">
        <v>70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t="s">
        <v>71</v>
      </c>
      <c r="B23" t="s">
        <v>72</v>
      </c>
      <c r="C23" t="s">
        <v>73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t="s">
        <v>74</v>
      </c>
      <c r="B24" t="s">
        <v>75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t="s">
        <v>77</v>
      </c>
      <c r="B25" t="s">
        <v>78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t="s">
        <v>79</v>
      </c>
      <c r="B26" t="s">
        <v>80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t="s">
        <v>81</v>
      </c>
      <c r="B27" t="s">
        <v>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t="s">
        <v>83</v>
      </c>
      <c r="B28" t="s">
        <v>84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t="s">
        <v>85</v>
      </c>
      <c r="B29" t="s">
        <v>86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t="s">
        <v>87</v>
      </c>
      <c r="B30" t="s">
        <v>88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t="s">
        <v>89</v>
      </c>
      <c r="B31" t="s">
        <v>90</v>
      </c>
      <c r="C31" t="s">
        <v>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t="s">
        <v>92</v>
      </c>
      <c r="B32" t="s">
        <v>93</v>
      </c>
      <c r="C32" t="s">
        <v>94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t="s">
        <v>95</v>
      </c>
      <c r="B33" t="s">
        <v>96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t="s">
        <v>97</v>
      </c>
      <c r="B34" t="s">
        <v>98</v>
      </c>
      <c r="C34" t="s">
        <v>99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5</v>
      </c>
      <c r="K34">
        <v>0</v>
      </c>
    </row>
    <row r="35" spans="1:11" x14ac:dyDescent="0.2">
      <c r="A35" t="s">
        <v>100</v>
      </c>
      <c r="B35" t="s">
        <v>101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102</v>
      </c>
      <c r="B36" t="s">
        <v>103</v>
      </c>
      <c r="C36" t="s">
        <v>104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8" spans="1:11" x14ac:dyDescent="0.2">
      <c r="B38" s="2" t="s">
        <v>105</v>
      </c>
      <c r="J38">
        <v>54</v>
      </c>
      <c r="K38">
        <v>0</v>
      </c>
    </row>
  </sheetData>
  <autoFilter ref="A1:K3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E27" sqref="E27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12" customWidth="1"/>
    <col min="4" max="4" width="11" customWidth="1"/>
    <col min="5" max="5" width="30" customWidth="1"/>
    <col min="6" max="6" width="8" customWidth="1"/>
    <col min="7" max="7" width="26" customWidth="1"/>
    <col min="8" max="8" width="20.5" bestFit="1" customWidth="1"/>
  </cols>
  <sheetData>
    <row r="1" spans="1:8" x14ac:dyDescent="0.2">
      <c r="A1" s="1" t="s">
        <v>1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</v>
      </c>
    </row>
    <row r="2" spans="1:8" x14ac:dyDescent="0.2">
      <c r="A2" t="s">
        <v>33</v>
      </c>
      <c r="B2" t="s">
        <v>112</v>
      </c>
      <c r="C2" t="s">
        <v>113</v>
      </c>
      <c r="D2" t="s">
        <v>114</v>
      </c>
      <c r="E2" t="s">
        <v>115</v>
      </c>
      <c r="F2">
        <v>5</v>
      </c>
      <c r="G2" t="s">
        <v>116</v>
      </c>
      <c r="H2" t="s">
        <v>34</v>
      </c>
    </row>
    <row r="3" spans="1:8" x14ac:dyDescent="0.2">
      <c r="A3" t="s">
        <v>36</v>
      </c>
      <c r="B3" t="s">
        <v>117</v>
      </c>
      <c r="C3" t="s">
        <v>118</v>
      </c>
      <c r="D3" t="s">
        <v>119</v>
      </c>
      <c r="E3" t="s">
        <v>115</v>
      </c>
      <c r="F3">
        <v>5</v>
      </c>
      <c r="G3" t="s">
        <v>116</v>
      </c>
      <c r="H3" t="s">
        <v>37</v>
      </c>
    </row>
    <row r="4" spans="1:8" x14ac:dyDescent="0.2">
      <c r="A4" t="s">
        <v>36</v>
      </c>
      <c r="B4" t="s">
        <v>117</v>
      </c>
      <c r="C4" t="s">
        <v>120</v>
      </c>
      <c r="D4" t="s">
        <v>121</v>
      </c>
      <c r="E4" t="s">
        <v>122</v>
      </c>
      <c r="F4">
        <v>2</v>
      </c>
      <c r="G4" t="s">
        <v>116</v>
      </c>
      <c r="H4" t="s">
        <v>37</v>
      </c>
    </row>
    <row r="5" spans="1:8" x14ac:dyDescent="0.2">
      <c r="A5" t="s">
        <v>36</v>
      </c>
      <c r="B5" t="s">
        <v>117</v>
      </c>
      <c r="C5" t="s">
        <v>123</v>
      </c>
      <c r="D5" t="s">
        <v>124</v>
      </c>
      <c r="E5" t="s">
        <v>122</v>
      </c>
      <c r="F5">
        <v>2</v>
      </c>
      <c r="G5" t="s">
        <v>116</v>
      </c>
      <c r="H5" t="s">
        <v>37</v>
      </c>
    </row>
    <row r="6" spans="1:8" x14ac:dyDescent="0.2">
      <c r="A6" t="s">
        <v>36</v>
      </c>
      <c r="B6" t="s">
        <v>125</v>
      </c>
      <c r="C6" t="s">
        <v>126</v>
      </c>
      <c r="D6" t="s">
        <v>124</v>
      </c>
      <c r="E6" t="s">
        <v>115</v>
      </c>
      <c r="F6">
        <v>5</v>
      </c>
      <c r="G6" t="s">
        <v>116</v>
      </c>
      <c r="H6" t="s">
        <v>37</v>
      </c>
    </row>
    <row r="7" spans="1:8" x14ac:dyDescent="0.2">
      <c r="A7" t="s">
        <v>97</v>
      </c>
      <c r="B7" t="s">
        <v>127</v>
      </c>
      <c r="C7" t="s">
        <v>128</v>
      </c>
      <c r="D7" t="s">
        <v>129</v>
      </c>
      <c r="E7" t="s">
        <v>115</v>
      </c>
      <c r="F7">
        <v>5</v>
      </c>
      <c r="G7" t="s">
        <v>116</v>
      </c>
      <c r="H7" t="s">
        <v>98</v>
      </c>
    </row>
    <row r="9" spans="1:8" x14ac:dyDescent="0.2">
      <c r="B9" s="3" t="s">
        <v>135</v>
      </c>
      <c r="C9" s="3"/>
      <c r="D9" s="3"/>
    </row>
    <row r="10" spans="1:8" x14ac:dyDescent="0.2">
      <c r="A10" t="s">
        <v>36</v>
      </c>
      <c r="B10" t="s">
        <v>37</v>
      </c>
      <c r="C10">
        <f>F3+F4+F5+F6</f>
        <v>14</v>
      </c>
    </row>
    <row r="11" spans="1:8" x14ac:dyDescent="0.2">
      <c r="A11" t="s">
        <v>97</v>
      </c>
      <c r="B11" t="s">
        <v>98</v>
      </c>
      <c r="C11">
        <f>F7</f>
        <v>5</v>
      </c>
    </row>
    <row r="12" spans="1:8" x14ac:dyDescent="0.2">
      <c r="A12" t="s">
        <v>33</v>
      </c>
      <c r="B12" t="s">
        <v>34</v>
      </c>
      <c r="C12">
        <f>F2</f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20" sqref="D20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11" customWidth="1"/>
    <col min="4" max="4" width="40" customWidth="1"/>
  </cols>
  <sheetData>
    <row r="1" spans="1:4" x14ac:dyDescent="0.2">
      <c r="A1" s="1" t="s">
        <v>107</v>
      </c>
      <c r="B1" s="1" t="s">
        <v>106</v>
      </c>
      <c r="C1" s="1" t="s">
        <v>108</v>
      </c>
      <c r="D1" s="1" t="s">
        <v>130</v>
      </c>
    </row>
    <row r="2" spans="1:4" x14ac:dyDescent="0.2">
      <c r="A2" t="s">
        <v>131</v>
      </c>
      <c r="B2" t="s">
        <v>132</v>
      </c>
      <c r="C2" t="s">
        <v>133</v>
      </c>
      <c r="D2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Detalle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velarde</cp:lastModifiedBy>
  <dcterms:created xsi:type="dcterms:W3CDTF">2026-06-18T12:38:42Z</dcterms:created>
  <dcterms:modified xsi:type="dcterms:W3CDTF">2026-06-18T16:11:04Z</dcterms:modified>
</cp:coreProperties>
</file>